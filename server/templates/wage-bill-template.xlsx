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0" yWindow="15" windowWidth="18960" windowHeight="11325" activeTab="1"/>
  </bookViews>
  <sheets>
    <sheet sheetId="1" name="Table 1" state="visible" r:id="rId4"/>
    <sheet sheetId="2" name="Sheet1" state="visible" r:id="rId5"/>
  </sheets>
  <calcPr calcId="171027"/>
</workbook>
</file>

<file path=xl/sharedStrings.xml><?xml version="1.0" encoding="utf-8"?>
<sst xmlns="http://schemas.openxmlformats.org/spreadsheetml/2006/main" count="65" uniqueCount="65">
  <si>
    <r>
      <t xml:space="preserve">{{COMPANY_NAME}}
</t>
    </r>
    <r>
      <rPr>
        <b/>
        <color rgb="FF000000"/>
        <sz val="8"/>
        <rFont val="Times New Roman"/>
      </rPr>
      <t>WAGES FOR THE MONTH OF {{MONTH_LABEL}}</t>
    </r>
  </si>
  <si>
    <r>
      <rPr>
        <family val="1"/>
        <sz val="8"/>
        <rFont val="Times New Roman"/>
      </rPr>
      <t>S.NO.</t>
    </r>
  </si>
  <si>
    <t>CODE. No.</t>
  </si>
  <si>
    <r>
      <rPr>
        <family val="1"/>
        <sz val="8"/>
        <rFont val="Times New Roman"/>
      </rPr>
      <t>NAME</t>
    </r>
  </si>
  <si>
    <r>
      <rPr>
        <family val="1"/>
        <sz val="8"/>
        <rFont val="Times New Roman"/>
      </rPr>
      <t>BASIC SALARY</t>
    </r>
  </si>
  <si>
    <t>WORKING DAYS</t>
  </si>
  <si>
    <t>OT</t>
  </si>
  <si>
    <r>
      <rPr>
        <family val="1"/>
        <sz val="8"/>
        <rFont val="Times New Roman"/>
      </rPr>
      <t>BASIC EARN</t>
    </r>
  </si>
  <si>
    <t>OT AMOUNT</t>
  </si>
  <si>
    <r>
      <rPr>
        <family val="1"/>
        <sz val="8"/>
        <rFont val="Calibri"/>
      </rPr>
      <t>GROSS EARING</t>
    </r>
  </si>
  <si>
    <r>
      <rPr>
        <family val="1"/>
        <sz val="8"/>
        <rFont val="Calibri"/>
      </rPr>
      <t>PF</t>
    </r>
  </si>
  <si>
    <t>ESIC DED (0.75%)</t>
  </si>
  <si>
    <r>
      <rPr>
        <family val="1"/>
        <sz val="8"/>
        <rFont val="Calibri"/>
      </rPr>
      <t>L.W.F</t>
    </r>
  </si>
  <si>
    <r>
      <rPr>
        <family val="1"/>
        <sz val="8"/>
        <rFont val="Calibri"/>
      </rPr>
      <t>ADV.</t>
    </r>
  </si>
  <si>
    <r>
      <rPr>
        <family val="1"/>
        <sz val="8"/>
        <rFont val="Calibri"/>
      </rPr>
      <t>TOTAL DED.</t>
    </r>
  </si>
  <si>
    <r>
      <rPr>
        <family val="1"/>
        <sz val="8"/>
        <rFont val="Calibri"/>
      </rPr>
      <t>NET PAYBLE</t>
    </r>
  </si>
  <si>
    <t>SIGNATURE</t>
  </si>
  <si>
    <r>
      <rPr>
        <family val="1"/>
        <sz val="8"/>
        <rFont val="Calibri"/>
      </rPr>
      <t>ARUN</t>
    </r>
  </si>
  <si>
    <t>Biru kumar</t>
  </si>
  <si>
    <t>Suraj</t>
  </si>
  <si>
    <r>
      <rPr>
        <b/>
        <family val="1"/>
        <sz val="8"/>
        <rFont val="Calibri"/>
      </rPr>
      <t>TOTAL</t>
    </r>
  </si>
  <si>
    <r>
      <rPr>
        <b/>
        <family val="1"/>
        <sz val="8"/>
        <rFont val="Times New Roman"/>
      </rPr>
      <t>ESIC WAGES</t>
    </r>
  </si>
  <si>
    <t>EMPLOYEE ESIC CONTN.</t>
  </si>
  <si>
    <t>L.W.F CONTN.</t>
  </si>
  <si>
    <r>
      <rPr>
        <b/>
        <family val="1"/>
        <sz val="8"/>
        <rFont val="Times New Roman"/>
      </rPr>
      <t>TOTAL CONTN.</t>
    </r>
  </si>
  <si>
    <r>
      <rPr>
        <b/>
        <family val="1"/>
        <sz val="24"/>
        <rFont val="Calibri"/>
      </rPr>
      <t xml:space="preserve">{{COMPANY_NAME}}
</t>
    </r>
    <r>
      <rPr>
        <b/>
        <family val="1"/>
        <sz val="11"/>
        <rFont val="Calibri"/>
      </rPr>
      <t>{{COMPANY_ADDRESS}}</t>
    </r>
  </si>
  <si>
    <r>
      <rPr>
        <family val="1"/>
        <sz val="11"/>
        <rFont val="Calibri"/>
      </rPr>
      <t>Mob.</t>
    </r>
    <r>
      <rPr>
        <family val="1"/>
        <sz val="11"/>
        <rFont val="Times New Roman"/>
      </rPr>
      <t xml:space="preserve">                                         </t>
    </r>
    <r>
      <rPr>
        <family val="1"/>
        <sz val="11"/>
        <rFont val="Calibri"/>
      </rPr>
      <t>{{COMPANY_MOBILE}}</t>
    </r>
  </si>
  <si>
    <t>Bill No: {{BILL_NO}}</t>
  </si>
  <si>
    <t>{{BILL_DATE}}</t>
  </si>
  <si>
    <t>M/s {{CLIENT_NAME}}</t>
  </si>
  <si>
    <r>
      <rPr>
        <color theme="1"/>
        <sz val="11"/>
        <rFont val="Comic Sans MS"/>
      </rPr>
      <t>GST. NO.</t>
    </r>
  </si>
  <si>
    <r>
      <rPr>
        <b/>
        <i/>
        <color theme="1"/>
        <sz val="11"/>
        <rFont val="Calibri"/>
      </rPr>
      <t>{{CLIENT_GST}}</t>
    </r>
  </si>
  <si>
    <t>{{CLIENT_ADDRESS_LINE1}}</t>
  </si>
  <si>
    <r>
      <rPr>
        <color theme="1"/>
        <sz val="11"/>
        <rFont val="Comic Sans MS"/>
      </rPr>
      <t>PAN NO.</t>
    </r>
  </si>
  <si>
    <r>
      <rPr>
        <b/>
        <color theme="1"/>
        <sz val="11"/>
        <rFont val="Comic Sans MS"/>
      </rPr>
      <t>{{CLIENT_PAN}}</t>
    </r>
  </si>
  <si>
    <r>
      <rPr>
        <b/>
        <color theme="1"/>
        <sz val="12"/>
        <rFont val="Calibri"/>
      </rPr>
      <t>{{CLIENT_ADDRESS_LINE2}}</t>
    </r>
  </si>
  <si>
    <r>
      <rPr>
        <color theme="1"/>
        <sz val="11"/>
        <rFont val="Comic Sans MS"/>
      </rPr>
      <t>PF CODE</t>
    </r>
  </si>
  <si>
    <r>
      <rPr>
        <b/>
        <color theme="1"/>
        <sz val="10"/>
        <rFont val="Comic Sans MS"/>
      </rPr>
      <t>{{COMPANY_PF_CODE}}</t>
    </r>
  </si>
  <si>
    <t>GST NO :{{COMPANY_GST}}</t>
  </si>
  <si>
    <r>
      <rPr>
        <color rgb="FF000000"/>
        <sz val="11"/>
        <rFont val="Comic Sans MS"/>
      </rPr>
      <t xml:space="preserve">ESI CODE.
</t>
    </r>
    <r>
      <rPr>
        <color rgb="FF000000"/>
        <sz val="11"/>
        <rFont val="Comic Sans MS"/>
      </rPr>
      <t>HSN/SAC</t>
    </r>
  </si>
  <si>
    <r>
      <rPr>
        <b/>
        <color theme="1"/>
        <sz val="11"/>
        <rFont val="Comic Sans MS"/>
      </rPr>
      <t>{{COMPANY_ESI_CODE}}</t>
    </r>
  </si>
  <si>
    <t>BILL FOR THE MONTH OF {{MONTH_LABEL}}</t>
  </si>
  <si>
    <r>
      <rPr>
        <color theme="1"/>
        <sz val="12"/>
        <rFont val="Comic Sans MS"/>
      </rPr>
      <t>S.NO.</t>
    </r>
  </si>
  <si>
    <r>
      <rPr>
        <color theme="1"/>
        <sz val="12"/>
        <rFont val="Comic Sans MS"/>
      </rPr>
      <t>PARTICULARS</t>
    </r>
  </si>
  <si>
    <r>
      <rPr>
        <color theme="1"/>
        <sz val="12"/>
        <rFont val="Comic Sans MS"/>
      </rPr>
      <t>ATTENDANCE</t>
    </r>
  </si>
  <si>
    <r>
      <rPr>
        <color theme="1"/>
        <sz val="12"/>
        <rFont val="Comic Sans MS"/>
      </rPr>
      <t>RATE</t>
    </r>
  </si>
  <si>
    <r>
      <rPr>
        <color theme="1"/>
        <sz val="12"/>
        <rFont val="Comic Sans MS"/>
      </rPr>
      <t>AMOUNT</t>
    </r>
  </si>
  <si>
    <t>Basic Wages ({{MONTH_LABEL_SHORT}})</t>
  </si>
  <si>
    <r>
      <rPr>
        <color theme="1"/>
        <sz val="12"/>
        <rFont val="Comic Sans MS"/>
      </rPr>
      <t>HRA</t>
    </r>
  </si>
  <si>
    <r>
      <rPr>
        <color theme="1"/>
        <sz val="12"/>
        <rFont val="Comic Sans MS"/>
      </rPr>
      <t>CON.</t>
    </r>
  </si>
  <si>
    <r>
      <rPr>
        <color theme="1"/>
        <sz val="12"/>
        <rFont val="Comic Sans MS"/>
      </rPr>
      <t>OT AMOUNT</t>
    </r>
  </si>
  <si>
    <r>
      <rPr>
        <color theme="1"/>
        <sz val="10"/>
        <rFont val="Times New Roman"/>
      </rPr>
      <t>INCENTIVE AMT.</t>
    </r>
  </si>
  <si>
    <r>
      <rPr>
        <color theme="1"/>
        <sz val="12"/>
        <rFont val="Comic Sans MS"/>
      </rPr>
      <t>TOTAL (1)</t>
    </r>
  </si>
  <si>
    <r>
      <rPr>
        <color theme="1"/>
        <sz val="12"/>
        <rFont val="Comic Sans MS"/>
      </rPr>
      <t>PF @12%</t>
    </r>
  </si>
  <si>
    <t>ESI @ 3.25% ON</t>
  </si>
  <si>
    <t>ESI @ 0.75% ON</t>
  </si>
  <si>
    <t>L.W.F @ 0.25% ON</t>
  </si>
  <si>
    <t>Service charges@7% on</t>
  </si>
  <si>
    <r>
      <rPr>
        <color theme="1"/>
        <sz val="12"/>
        <rFont val="Comic Sans MS"/>
      </rPr>
      <t>Labour Welfare Fund@.2%</t>
    </r>
  </si>
  <si>
    <r>
      <rPr>
        <color theme="1"/>
        <sz val="12"/>
        <rFont val="Comic Sans MS"/>
      </rPr>
      <t>Person</t>
    </r>
  </si>
  <si>
    <r>
      <rPr>
        <color theme="1"/>
        <sz val="12"/>
        <rFont val="Comic Sans MS"/>
      </rPr>
      <t>TOTAL (2)</t>
    </r>
  </si>
  <si>
    <r>
      <rPr>
        <color theme="1"/>
        <sz val="12"/>
        <rFont val="Comic Sans MS"/>
      </rPr>
      <t>CGST @ 9% on</t>
    </r>
  </si>
  <si>
    <r>
      <rPr>
        <color theme="1"/>
        <sz val="12"/>
        <rFont val="Comic Sans MS"/>
      </rPr>
      <t>SGST @ 9% on</t>
    </r>
  </si>
  <si>
    <r>
      <rPr>
        <color theme="1"/>
        <sz val="12"/>
        <rFont val="Comic Sans MS"/>
      </rPr>
      <t>GRAND TOTAL</t>
    </r>
  </si>
  <si>
    <r>
      <rPr>
        <b/>
        <color rgb="FF000000"/>
        <sz val="12"/>
        <rFont val="Comic Sans MS"/>
      </rPr>
      <t xml:space="preserve">{{AMOUNT_IN_WORDS}}
</t>
    </r>
    <r>
      <rPr>
        <color rgb="FF000000"/>
        <sz val="12"/>
        <rFont val="Comic Sans MS"/>
      </rPr>
      <t xml:space="preserve">{{COMPANY_NAME}}
A/C NO-{{COMPANY_BANK_ACCOUNT}}
{{COMPANY_IFSC}}                                              {{COMPANY_BANK_BRANCH}}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</si>
</sst>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"/>
    <numFmt numFmtId="165" formatCode="0.0"/>
  </numFmts>
  <fonts count="25" x14ac:knownFonts="1">
    <font>
      <color theme="1"/>
      <family val="2"/>
      <scheme val="minor"/>
      <sz val="11"/>
      <name val="Calibri"/>
    </font>
    <font>
      <color rgb="FF000000"/>
      <sz val="8"/>
      <name val="Times New Roman"/>
    </font>
    <font>
      <charset val="204"/>
      <color rgb="FF000000"/>
      <sz val="8"/>
      <name val="Times New Roman"/>
    </font>
    <font>
      <sz val="8"/>
      <name val="Times New Roman"/>
    </font>
    <font>
      <sz val="8"/>
      <name val="Calibri"/>
    </font>
    <font>
      <color rgb="FF000000"/>
      <family val="2"/>
      <sz val="8"/>
      <name val="Times New Roman"/>
    </font>
    <font>
      <color rgb="FF000000"/>
      <family val="2"/>
      <sz val="8"/>
      <name val="Calibri"/>
    </font>
    <font>
      <sz val="8"/>
      <name val="Verdana"/>
    </font>
    <font>
      <charset val="204"/>
      <color rgb="FF000000"/>
      <sz val="10"/>
      <name val="Times New Roman"/>
    </font>
    <font>
      <b/>
      <sz val="8"/>
      <name val="Calibri"/>
    </font>
    <font>
      <b/>
      <sz val="8"/>
      <name val="Times New Roman"/>
    </font>
    <font>
      <b/>
      <color rgb="FF000000"/>
      <family val="2"/>
      <sz val="8"/>
      <name val="Calibri"/>
    </font>
    <font>
      <color theme="1"/>
      <sz val="12"/>
      <name val="Comic Sans MS"/>
    </font>
    <font>
      <color rgb="FF000000"/>
      <sz val="12"/>
      <name val="Comic Sans MS"/>
    </font>
    <font>
      <b/>
      <color theme="1"/>
      <sz val="12"/>
      <name val="Cambria"/>
    </font>
    <font>
      <color theme="1"/>
      <sz val="11"/>
      <name val="Comic Sans MS"/>
    </font>
    <font>
      <b/>
      <i/>
      <color theme="1"/>
      <sz val="11"/>
      <name val="Calibri"/>
    </font>
    <font>
      <b/>
      <color theme="1"/>
      <sz val="10"/>
      <name val="Times New Roman"/>
    </font>
    <font>
      <b/>
      <color theme="1"/>
      <sz val="11"/>
      <name val="Comic Sans MS"/>
    </font>
    <font>
      <b/>
      <color theme="1"/>
      <sz val="12"/>
      <name val="Calibri"/>
    </font>
    <font>
      <b/>
      <color theme="1"/>
      <sz val="10"/>
      <name val="Comic Sans MS"/>
    </font>
    <font>
      <color rgb="FF000000"/>
      <sz val="10"/>
      <name val="Times New Roman"/>
    </font>
    <font>
      <b/>
      <color theme="1"/>
      <sz val="12"/>
      <name val="Comic Sans MS"/>
    </font>
    <font>
      <sz val="10"/>
      <name val="Times New Roman"/>
    </font>
    <font>
      <color theme="1"/>
      <sz val="10"/>
      <name val="Times New Roman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6" fillId="0" borderId="1" xfId="0" applyNumberFormat="1" applyFont="1" applyBorder="1" applyAlignment="1">
      <alignment vertical="top" shrinkToFit="1"/>
    </xf>
    <xf numFmtId="1" fontId="6" fillId="0" borderId="1" xfId="0" applyNumberFormat="1" applyFont="1" applyBorder="1" applyAlignment="1">
      <alignment vertical="top" shrinkToFit="1"/>
    </xf>
    <xf numFmtId="0" fontId="7" fillId="0" borderId="1" xfId="0" applyFont="1" applyBorder="1" applyAlignment="1">
      <alignment vertical="top" wrapText="1" indent="1"/>
    </xf>
    <xf numFmtId="0" fontId="8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3" fontId="6" fillId="0" borderId="1" xfId="0" applyNumberFormat="1" applyFont="1" applyBorder="1" applyAlignment="1">
      <alignment horizontal="right" vertical="top" shrinkToFit="1"/>
    </xf>
    <xf numFmtId="1" fontId="6" fillId="0" borderId="1" xfId="0" applyNumberFormat="1" applyFont="1" applyBorder="1" applyAlignment="1">
      <alignment horizontal="right" vertical="top" shrinkToFit="1"/>
    </xf>
    <xf numFmtId="0" fontId="2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 vertical="top" wrapText="1"/>
    </xf>
    <xf numFmtId="3" fontId="11" fillId="0" borderId="1" xfId="0" applyNumberFormat="1" applyFont="1" applyBorder="1" applyAlignment="1">
      <alignment horizontal="right" vertical="top" shrinkToFit="1"/>
    </xf>
    <xf numFmtId="0" fontId="2" fillId="0" borderId="0" xfId="0" applyFont="1" applyAlignment="1">
      <alignment horizontal="left" wrapText="1"/>
    </xf>
    <xf numFmtId="1" fontId="11" fillId="0" borderId="1" xfId="0" applyNumberFormat="1" applyFont="1" applyBorder="1" applyAlignment="1">
      <alignment horizontal="right" vertical="top" shrinkToFi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left" vertical="center" wrapText="1" indent="52"/>
    </xf>
    <xf numFmtId="0" fontId="12" fillId="0" borderId="0" xfId="0" applyFont="1" applyAlignment="1">
      <alignment horizontal="left" vertical="top" wrapText="1"/>
    </xf>
    <xf numFmtId="164" fontId="13" fillId="0" borderId="0" xfId="0" applyNumberFormat="1" applyFont="1" applyAlignment="1">
      <alignment horizontal="right" vertical="top" shrinkToFit="1"/>
    </xf>
    <xf numFmtId="0" fontId="8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right" vertical="center" wrapText="1"/>
    </xf>
    <xf numFmtId="0" fontId="16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top" wrapText="1"/>
    </xf>
    <xf numFmtId="0" fontId="15" fillId="0" borderId="0" xfId="0" applyFont="1" applyAlignment="1">
      <alignment horizontal="right" vertical="top" wrapText="1"/>
    </xf>
    <xf numFmtId="0" fontId="18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center" wrapText="1"/>
    </xf>
    <xf numFmtId="0" fontId="21" fillId="0" borderId="0" xfId="0" applyFont="1" applyAlignment="1">
      <alignment horizontal="right" vertical="top" wrapText="1"/>
    </xf>
    <xf numFmtId="0" fontId="22" fillId="0" borderId="2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1" fontId="13" fillId="0" borderId="3" xfId="0" applyNumberFormat="1" applyFont="1" applyBorder="1" applyAlignment="1">
      <alignment horizontal="center" vertical="top" shrinkToFit="1"/>
    </xf>
    <xf numFmtId="0" fontId="12" fillId="0" borderId="3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2" fontId="13" fillId="0" borderId="3" xfId="0" applyNumberFormat="1" applyFont="1" applyBorder="1" applyAlignment="1">
      <alignment horizontal="right" vertical="top" shrinkToFit="1"/>
    </xf>
    <xf numFmtId="0" fontId="12" fillId="0" borderId="0" xfId="0" applyFont="1" applyAlignment="1">
      <alignment horizontal="center" vertical="top" wrapText="1"/>
    </xf>
    <xf numFmtId="0" fontId="12" fillId="0" borderId="4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/>
    </xf>
    <xf numFmtId="2" fontId="13" fillId="0" borderId="4" xfId="0" applyNumberFormat="1" applyFont="1" applyBorder="1" applyAlignment="1">
      <alignment horizontal="right" vertical="top" shrinkToFit="1"/>
    </xf>
    <xf numFmtId="0" fontId="12" fillId="0" borderId="5" xfId="0" applyFont="1" applyBorder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0" fontId="23" fillId="0" borderId="5" xfId="0" applyFont="1" applyBorder="1" applyAlignment="1">
      <alignment horizontal="left" vertical="top"/>
    </xf>
    <xf numFmtId="1" fontId="13" fillId="0" borderId="5" xfId="0" applyNumberFormat="1" applyFont="1" applyBorder="1" applyAlignment="1">
      <alignment horizontal="right" vertical="top" shrinkToFit="1"/>
    </xf>
    <xf numFmtId="0" fontId="21" fillId="0" borderId="1" xfId="0" applyFont="1" applyBorder="1" applyAlignment="1">
      <alignment horizontal="left" wrapText="1"/>
    </xf>
    <xf numFmtId="2" fontId="13" fillId="0" borderId="1" xfId="0" applyNumberFormat="1" applyFont="1" applyBorder="1" applyAlignment="1">
      <alignment horizontal="right" vertical="top" shrinkToFit="1"/>
    </xf>
    <xf numFmtId="2" fontId="13" fillId="0" borderId="3" xfId="0" applyNumberFormat="1" applyFont="1" applyBorder="1" applyAlignment="1">
      <alignment horizontal="center" vertical="top" shrinkToFit="1"/>
    </xf>
    <xf numFmtId="165" fontId="13" fillId="0" borderId="3" xfId="0" applyNumberFormat="1" applyFont="1" applyBorder="1" applyAlignment="1">
      <alignment horizontal="right" vertical="top" shrinkToFit="1"/>
    </xf>
    <xf numFmtId="2" fontId="13" fillId="0" borderId="4" xfId="0" applyNumberFormat="1" applyFont="1" applyBorder="1" applyAlignment="1">
      <alignment horizontal="center" vertical="top" shrinkToFit="1"/>
    </xf>
    <xf numFmtId="1" fontId="13" fillId="0" borderId="4" xfId="0" applyNumberFormat="1" applyFont="1" applyBorder="1" applyAlignment="1">
      <alignment horizontal="right" vertical="top" shrinkToFit="1"/>
    </xf>
    <xf numFmtId="0" fontId="12" fillId="0" borderId="5" xfId="0" applyFont="1" applyBorder="1" applyAlignment="1">
      <alignment horizontal="center" vertical="top" wrapText="1"/>
    </xf>
    <xf numFmtId="1" fontId="13" fillId="0" borderId="1" xfId="0" applyNumberFormat="1" applyFont="1" applyBorder="1" applyAlignment="1">
      <alignment horizontal="right" vertical="top" shrinkToFit="1"/>
    </xf>
    <xf numFmtId="2" fontId="13" fillId="0" borderId="1" xfId="0" applyNumberFormat="1" applyFont="1" applyBorder="1" applyAlignment="1">
      <alignment horizontal="center" vertical="top" shrinkToFit="1"/>
    </xf>
    <xf numFmtId="0" fontId="21" fillId="0" borderId="0" xfId="0" applyFont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0" fontId="23" fillId="0" borderId="7" xfId="0" applyFont="1" applyBorder="1" applyAlignment="1">
      <alignment horizontal="left" vertical="top"/>
    </xf>
    <xf numFmtId="0" fontId="23" fillId="0" borderId="8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 zoomScale="100" zoomScaleNormal="100">
      <selection activeCell="G6" sqref="G6"/>
    </sheetView>
  </sheetViews>
  <sheetFormatPr defaultRowHeight="12.75" outlineLevelRow="0" outlineLevelCol="0" x14ac:dyDescent="0" customHeight="1"/>
  <cols>
    <col min="1" max="1" width="4.6640625" customWidth="1"/>
    <col min="2" max="2" width="10.5" customWidth="1"/>
    <col min="3" max="3" width="17.33203125" customWidth="1"/>
    <col min="4" max="4" width="11.5" customWidth="1"/>
    <col min="5" max="5" width="11" customWidth="1"/>
    <col min="6" max="6" width="3.83203125" customWidth="1"/>
    <col min="7" max="7" width="12.6640625" customWidth="1"/>
    <col min="8" max="8" width="10.5" customWidth="1"/>
    <col min="9" max="9" width="12.6640625" customWidth="1"/>
    <col min="10" max="10" width="10.5" customWidth="1"/>
    <col min="11" max="11" width="9.33203125" customWidth="1"/>
    <col min="12" max="12" width="6.83203125" customWidth="1"/>
    <col min="13" max="13" width="8" customWidth="1"/>
    <col min="14" max="14" width="9.33203125" customWidth="1"/>
    <col min="15" max="15" width="12.6640625" customWidth="1"/>
    <col min="16" max="16" width="8.1640625" customWidth="1"/>
    <col min="17" max="17" width="31.33203125" hidden="1" customWidth="1"/>
  </cols>
  <sheetData>
    <row r="1" ht="39.75" customHeight="1" spans="1:17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25.5" customHeight="1" spans="1:17" x14ac:dyDescent="0.25">
      <c r="A2" s="3" t="s">
        <v>1</v>
      </c>
      <c r="B2" s="4" t="s">
        <v>2</v>
      </c>
      <c r="C2" s="3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7" t="s">
        <v>8</v>
      </c>
      <c r="I2" s="7" t="s">
        <v>9</v>
      </c>
      <c r="J2" s="8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9" t="s">
        <v>16</v>
      </c>
      <c r="Q2" s="10"/>
    </row>
    <row r="3" ht="17.1" customHeight="1" spans="1:17" x14ac:dyDescent="0.25">
      <c r="A3" s="11">
        <v>1</v>
      </c>
      <c r="B3" s="12">
        <v>1215</v>
      </c>
      <c r="C3" s="13" t="s">
        <v>17</v>
      </c>
      <c r="D3" s="14">
        <v>17000</v>
      </c>
      <c r="E3" s="15">
        <v>23</v>
      </c>
      <c r="F3" s="15">
        <v>58</v>
      </c>
      <c r="G3" s="14">
        <f>(D3/30)*E3</f>
        <v>13033.333333333332</v>
      </c>
      <c r="H3" s="14">
        <f>(D3/30/8)*F3</f>
        <v>4108.333333333333</v>
      </c>
      <c r="I3" s="14">
        <f>SUM(G3:H3)</f>
        <v>17141.666666666664</v>
      </c>
      <c r="J3" s="15">
        <v>0</v>
      </c>
      <c r="K3" s="15">
        <f>(I3*0.75)/100</f>
        <v>128.56249999999997</v>
      </c>
      <c r="L3" s="15">
        <f>(I3*0.2)/100</f>
        <v>34.28333333333333</v>
      </c>
      <c r="M3" s="16">
        <v>1000</v>
      </c>
      <c r="N3" s="15">
        <f>SUM(J3:L3)</f>
        <v>162.8458333333333</v>
      </c>
      <c r="O3" s="15">
        <f>(I3-N3-M3)</f>
        <v>15978.820833333331</v>
      </c>
      <c r="P3" s="12"/>
      <c r="Q3" s="10"/>
    </row>
    <row r="4" ht="17.1" customHeight="1" spans="1:17" x14ac:dyDescent="0.25">
      <c r="A4" s="11">
        <v>2</v>
      </c>
      <c r="B4" s="12">
        <v>1224</v>
      </c>
      <c r="C4" s="13" t="s">
        <v>18</v>
      </c>
      <c r="D4" s="14">
        <v>17000</v>
      </c>
      <c r="E4" s="15">
        <v>18</v>
      </c>
      <c r="F4" s="15">
        <v>51</v>
      </c>
      <c r="G4" s="14">
        <f t="shared" ref="G4:G5" si="0">(D4/30)*E4</f>
        <v>10200</v>
      </c>
      <c r="H4" s="14">
        <f t="shared" ref="H4:H5" si="1">(D4/30/8)*F4</f>
        <v>3612.4999999999995</v>
      </c>
      <c r="I4" s="14">
        <f t="shared" ref="I4:I5" si="2">SUM(G4:H4)</f>
        <v>13812.5</v>
      </c>
      <c r="J4" s="15"/>
      <c r="K4" s="15">
        <f t="shared" ref="K4:K5" si="3">(I4*0.75)/100</f>
        <v>103.59375</v>
      </c>
      <c r="L4" s="15">
        <f t="shared" ref="L4:L5" si="4">(I4*0.2)/100</f>
        <v>27.625</v>
      </c>
      <c r="M4" s="16">
        <v>5000</v>
      </c>
      <c r="N4" s="15">
        <f t="shared" ref="N4:N5" si="5">SUM(J4:L4)</f>
        <v>131.21875</v>
      </c>
      <c r="O4" s="15">
        <f t="shared" ref="O4:O5" si="6">(I4-N4-M4)</f>
        <v>8681.28125</v>
      </c>
      <c r="P4" s="12"/>
      <c r="Q4" s="10"/>
    </row>
    <row r="5" ht="17.1" customHeight="1" spans="1:17" x14ac:dyDescent="0.25">
      <c r="A5" s="11">
        <v>3</v>
      </c>
      <c r="B5" s="12">
        <v>1230</v>
      </c>
      <c r="C5" s="13" t="s">
        <v>19</v>
      </c>
      <c r="D5" s="14">
        <v>17000</v>
      </c>
      <c r="E5" s="15">
        <v>3</v>
      </c>
      <c r="F5" s="15">
        <v>1</v>
      </c>
      <c r="G5" s="14">
        <f t="shared" si="0"/>
        <v>1700</v>
      </c>
      <c r="H5" s="14">
        <f t="shared" si="1"/>
        <v>70.83333333333333</v>
      </c>
      <c r="I5" s="14">
        <f t="shared" si="2"/>
        <v>1770.8333333333333</v>
      </c>
      <c r="J5" s="15"/>
      <c r="K5" s="15">
        <f t="shared" si="3"/>
        <v>13.28125</v>
      </c>
      <c r="L5" s="15">
        <f t="shared" si="4"/>
        <v>3.541666666666667</v>
      </c>
      <c r="M5" s="16"/>
      <c r="N5" s="15">
        <f t="shared" si="5"/>
        <v>16.822916666666668</v>
      </c>
      <c r="O5" s="15">
        <f t="shared" si="6"/>
        <v>1754.0104166666665</v>
      </c>
      <c r="P5" s="12"/>
      <c r="Q5" s="10"/>
    </row>
    <row r="6" ht="17.1" customHeight="1" spans="1:17" s="17" customFormat="1" x14ac:dyDescent="0.25">
      <c r="A6" s="18"/>
      <c r="B6" s="18"/>
      <c r="C6" s="19" t="s">
        <v>20</v>
      </c>
      <c r="D6" s="14"/>
      <c r="E6" s="15">
        <f>SUM(E3:E5)</f>
        <v>44</v>
      </c>
      <c r="F6" s="15"/>
      <c r="G6" s="14">
        <f>SUM(G3:G5)</f>
        <v>24933.333333333332</v>
      </c>
      <c r="H6" s="14">
        <f>SUM(H3:H5)</f>
        <v>7791.666666666665</v>
      </c>
      <c r="I6" s="14">
        <f>SUM(I3:I5)</f>
        <v>32724.999999999996</v>
      </c>
      <c r="J6" s="15">
        <v>0</v>
      </c>
      <c r="K6" s="15">
        <f>SUM(K3:K5)</f>
        <v>245.43749999999997</v>
      </c>
      <c r="L6" s="15">
        <f>SUM(L3:L5)</f>
        <v>65.45</v>
      </c>
      <c r="M6" s="15">
        <f>SUM(M3:M5)</f>
        <v>6000</v>
      </c>
      <c r="N6" s="15">
        <f>SUM(N3:N5)</f>
        <v>310.8875</v>
      </c>
      <c r="O6" s="14">
        <f>SUM(O3:O5)</f>
        <v>26414.1125</v>
      </c>
      <c r="P6" s="18"/>
      <c r="Q6" s="2"/>
    </row>
    <row r="7" ht="17.1" customHeight="1" spans="1:17" x14ac:dyDescent="0.25">
      <c r="A7" s="12"/>
      <c r="B7" s="12"/>
      <c r="C7" s="20"/>
      <c r="D7" s="21"/>
      <c r="E7" s="22"/>
      <c r="F7" s="22"/>
      <c r="G7" s="21"/>
      <c r="H7" s="21"/>
      <c r="I7" s="21"/>
      <c r="J7" s="22"/>
      <c r="K7" s="22"/>
      <c r="L7" s="22"/>
      <c r="M7" s="22"/>
      <c r="N7" s="22"/>
      <c r="O7" s="21"/>
      <c r="P7" s="12"/>
      <c r="Q7" s="10"/>
    </row>
    <row r="8" ht="15" customHeight="1" spans="1:17" x14ac:dyDescent="0.25">
      <c r="A8" s="23"/>
      <c r="B8" s="23"/>
      <c r="C8" s="24" t="s">
        <v>21</v>
      </c>
      <c r="D8" s="25">
        <f>I6</f>
        <v>32724.999999999996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6"/>
    </row>
    <row r="9" ht="24" customHeight="1" spans="1:17" x14ac:dyDescent="0.25">
      <c r="A9" s="23"/>
      <c r="B9" s="23"/>
      <c r="C9" s="24" t="s">
        <v>22</v>
      </c>
      <c r="D9" s="27">
        <f>D8*0.75/100</f>
        <v>245.43749999999997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6"/>
    </row>
    <row r="10" ht="15.75" customHeight="1" spans="1:17" x14ac:dyDescent="0.25">
      <c r="A10" s="23"/>
      <c r="B10" s="23"/>
      <c r="C10" s="24" t="s">
        <v>23</v>
      </c>
      <c r="D10" s="27">
        <f>D8*0.2/100</f>
        <v>65.45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6"/>
    </row>
    <row r="11" ht="15.75" customHeight="1" spans="1:17" x14ac:dyDescent="0.25">
      <c r="A11" s="23"/>
      <c r="B11" s="23"/>
      <c r="C11" s="24" t="s">
        <v>24</v>
      </c>
      <c r="D11" s="27">
        <f>SUM(D8:D10)</f>
        <v>33035.88749999999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6"/>
    </row>
  </sheetData>
  <mergeCells count="1">
    <mergeCell ref="A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zoomScale="100" zoomScaleNormal="100">
      <selection activeCell="B26" sqref="B26"/>
    </sheetView>
  </sheetViews>
  <sheetFormatPr defaultRowHeight="12.75" outlineLevelRow="0" outlineLevelCol="0" x14ac:dyDescent="0" customHeight="1"/>
  <cols>
    <col min="2" max="2" width="41.33203125" customWidth="1"/>
    <col min="3" max="3" width="20.33203125" customWidth="1"/>
    <col min="4" max="4" width="40" customWidth="1"/>
    <col min="5" max="5" width="18" customWidth="1"/>
  </cols>
  <sheetData>
    <row r="1" ht="57" customHeight="1" spans="1:7" x14ac:dyDescent="0.25">
      <c r="A1" s="28" t="s">
        <v>25</v>
      </c>
      <c r="B1" s="28"/>
      <c r="C1" s="28"/>
      <c r="D1" s="28"/>
      <c r="E1" s="28"/>
      <c r="F1" s="28"/>
      <c r="G1" s="28"/>
    </row>
    <row r="2" spans="1:7" x14ac:dyDescent="0.25">
      <c r="A2" s="29" t="s">
        <v>26</v>
      </c>
      <c r="B2" s="29"/>
      <c r="C2" s="29"/>
      <c r="D2" s="29"/>
      <c r="E2" s="29"/>
      <c r="F2" s="29"/>
      <c r="G2" s="29"/>
    </row>
    <row r="3" ht="21" customHeight="1" spans="1:7" x14ac:dyDescent="0.25">
      <c r="A3" s="30"/>
      <c r="B3" s="30" t="s">
        <v>27</v>
      </c>
      <c r="C3" s="31" t="s">
        <v>28</v>
      </c>
      <c r="D3" s="31"/>
      <c r="E3" s="32"/>
      <c r="F3" s="32"/>
      <c r="G3" s="32"/>
    </row>
    <row r="4" ht="34.5" customHeight="1" spans="1:7" x14ac:dyDescent="0.25">
      <c r="A4" s="33"/>
      <c r="B4" s="33" t="s">
        <v>29</v>
      </c>
      <c r="C4" s="34" t="s">
        <v>30</v>
      </c>
      <c r="D4" s="35" t="s">
        <v>31</v>
      </c>
      <c r="E4" s="32"/>
      <c r="F4" s="32"/>
      <c r="G4" s="32"/>
    </row>
    <row r="5" ht="43.5" customHeight="1" spans="1:7" x14ac:dyDescent="0.25">
      <c r="A5" s="36"/>
      <c r="B5" s="36" t="s">
        <v>32</v>
      </c>
      <c r="C5" s="37" t="s">
        <v>33</v>
      </c>
      <c r="D5" s="38" t="s">
        <v>34</v>
      </c>
      <c r="E5" s="32"/>
      <c r="F5" s="32"/>
      <c r="G5" s="32"/>
    </row>
    <row r="6" ht="24.75" customHeight="1" spans="1:7" x14ac:dyDescent="0.25">
      <c r="A6" s="39"/>
      <c r="B6" s="39" t="s">
        <v>35</v>
      </c>
      <c r="C6" s="37" t="s">
        <v>36</v>
      </c>
      <c r="D6" s="40" t="s">
        <v>37</v>
      </c>
      <c r="E6" s="32"/>
      <c r="F6" s="32"/>
      <c r="G6" s="32"/>
    </row>
    <row r="7" ht="47.25" customHeight="1" spans="1:7" x14ac:dyDescent="0.25">
      <c r="A7" s="41"/>
      <c r="B7" s="41" t="s">
        <v>38</v>
      </c>
      <c r="C7" s="42" t="s">
        <v>39</v>
      </c>
      <c r="D7" s="38" t="s">
        <v>40</v>
      </c>
      <c r="E7" s="32"/>
      <c r="F7" s="32"/>
      <c r="G7" s="32"/>
    </row>
    <row r="8" ht="19.5" customHeight="1" spans="1:7" x14ac:dyDescent="0.25">
      <c r="A8" s="43" t="s">
        <v>41</v>
      </c>
      <c r="B8" s="43"/>
      <c r="C8" s="17"/>
      <c r="D8" s="17"/>
      <c r="E8" s="17"/>
      <c r="F8" s="32"/>
      <c r="G8" s="32"/>
    </row>
    <row r="9" ht="24" customHeight="1" spans="1:7" x14ac:dyDescent="0.25">
      <c r="A9" s="44" t="s">
        <v>42</v>
      </c>
      <c r="B9" s="45" t="s">
        <v>43</v>
      </c>
      <c r="C9" s="44" t="s">
        <v>44</v>
      </c>
      <c r="D9" s="45" t="s">
        <v>45</v>
      </c>
      <c r="E9" s="45" t="s">
        <v>46</v>
      </c>
      <c r="F9" s="32"/>
      <c r="G9" s="32"/>
    </row>
    <row r="10" ht="21.75" customHeight="1" spans="1:7" x14ac:dyDescent="0.25">
      <c r="A10" s="46">
        <v>1</v>
      </c>
      <c r="B10" s="47" t="s">
        <v>47</v>
      </c>
      <c r="C10" s="48"/>
      <c r="D10" s="48"/>
      <c r="E10" s="49">
        <f>'Table 1'!G6</f>
        <v>24933.333333333332</v>
      </c>
      <c r="F10" s="32"/>
      <c r="G10" s="32"/>
    </row>
    <row r="11" ht="19.5" customHeight="1" spans="1:7" x14ac:dyDescent="0.25">
      <c r="A11" s="50">
        <v>2</v>
      </c>
      <c r="B11" s="51" t="s">
        <v>48</v>
      </c>
      <c r="C11" s="52"/>
      <c r="D11" s="52"/>
      <c r="E11" s="53">
        <v>0</v>
      </c>
      <c r="F11" s="32"/>
      <c r="G11" s="32"/>
    </row>
    <row r="12" ht="19.5" customHeight="1" spans="1:7" x14ac:dyDescent="0.25">
      <c r="A12" s="50">
        <v>3</v>
      </c>
      <c r="B12" s="51" t="s">
        <v>49</v>
      </c>
      <c r="C12" s="52"/>
      <c r="D12" s="52"/>
      <c r="E12" s="53">
        <v>0</v>
      </c>
      <c r="F12" s="32"/>
      <c r="G12" s="32"/>
    </row>
    <row r="13" ht="17.25" customHeight="1" spans="1:7" x14ac:dyDescent="0.25">
      <c r="A13" s="30"/>
      <c r="B13" s="54" t="s">
        <v>50</v>
      </c>
      <c r="C13" s="52"/>
      <c r="D13" s="52"/>
      <c r="E13" s="53"/>
      <c r="F13" s="32"/>
      <c r="G13" s="32"/>
    </row>
    <row r="14" ht="17.25" customHeight="1" spans="1:7" x14ac:dyDescent="0.25">
      <c r="A14" s="55"/>
      <c r="B14" s="56" t="s">
        <v>51</v>
      </c>
      <c r="C14" s="57"/>
      <c r="D14" s="57"/>
      <c r="E14" s="58">
        <f>'Table 1'!H6</f>
        <v>7791.666666666665</v>
      </c>
      <c r="F14" s="32"/>
      <c r="G14" s="32"/>
    </row>
    <row r="15" ht="19.5" customHeight="1" spans="1:7" x14ac:dyDescent="0.25">
      <c r="A15" s="30"/>
      <c r="B15" s="45" t="s">
        <v>52</v>
      </c>
      <c r="C15" s="59"/>
      <c r="D15" s="59"/>
      <c r="E15" s="60">
        <f>SUM(E10:E14)</f>
        <v>32724.999999999996</v>
      </c>
      <c r="F15" s="32"/>
      <c r="G15" s="32"/>
    </row>
    <row r="16" ht="24" customHeight="1" spans="1:7" x14ac:dyDescent="0.25">
      <c r="A16" s="30"/>
      <c r="B16" s="47" t="s">
        <v>53</v>
      </c>
      <c r="C16" s="61">
        <v>0</v>
      </c>
      <c r="D16" s="48"/>
      <c r="E16" s="62">
        <v>0</v>
      </c>
      <c r="F16" s="32"/>
      <c r="G16" s="32"/>
    </row>
    <row r="17" ht="23.25" customHeight="1" spans="1:7" x14ac:dyDescent="0.25">
      <c r="A17" s="30"/>
      <c r="B17" s="51" t="s">
        <v>54</v>
      </c>
      <c r="C17" s="63">
        <f>E15</f>
        <v>32724.999999999996</v>
      </c>
      <c r="D17" s="52"/>
      <c r="E17" s="64">
        <f>(C17*3.25)/100</f>
        <v>1063.5624999999998</v>
      </c>
      <c r="F17" s="32"/>
      <c r="G17" s="32"/>
    </row>
    <row r="18" ht="20.25" customHeight="1" spans="1:7" x14ac:dyDescent="0.25">
      <c r="A18" s="30"/>
      <c r="B18" s="51" t="s">
        <v>55</v>
      </c>
      <c r="C18" s="63">
        <f>E15</f>
        <v>32724.999999999996</v>
      </c>
      <c r="D18" s="52"/>
      <c r="E18" s="64">
        <f>(C18*0.75)/100</f>
        <v>245.43749999999997</v>
      </c>
      <c r="F18" s="32"/>
      <c r="G18" s="32"/>
    </row>
    <row r="19" ht="22.5" customHeight="1" spans="1:7" x14ac:dyDescent="0.25">
      <c r="A19" s="30"/>
      <c r="B19" s="51" t="s">
        <v>56</v>
      </c>
      <c r="C19" s="63">
        <f>E15</f>
        <v>32724.999999999996</v>
      </c>
      <c r="D19" s="52"/>
      <c r="E19" s="64">
        <f>(C19*0.25)/100</f>
        <v>81.81249999999999</v>
      </c>
      <c r="F19" s="32"/>
      <c r="G19" s="32"/>
    </row>
    <row r="20" ht="24.75" customHeight="1" spans="1:7" x14ac:dyDescent="0.25">
      <c r="A20" s="30"/>
      <c r="B20" s="51" t="s">
        <v>57</v>
      </c>
      <c r="C20" s="63">
        <f>E15</f>
        <v>32724.999999999996</v>
      </c>
      <c r="D20" s="52"/>
      <c r="E20" s="64">
        <f>(C20*7)/100</f>
        <v>2290.7499999999995</v>
      </c>
      <c r="F20" s="32"/>
      <c r="G20" s="32"/>
    </row>
    <row r="21" ht="24" customHeight="1" spans="1:7" x14ac:dyDescent="0.25">
      <c r="A21" s="30"/>
      <c r="B21" s="54" t="s">
        <v>58</v>
      </c>
      <c r="C21" s="65" t="s">
        <v>59</v>
      </c>
      <c r="D21" s="57"/>
      <c r="E21" s="58">
        <f>((E10*0.2)/100)*2</f>
        <v>99.73333333333333</v>
      </c>
      <c r="F21" s="32"/>
      <c r="G21" s="32"/>
    </row>
    <row r="22" ht="25.5" customHeight="1" spans="1:7" x14ac:dyDescent="0.25">
      <c r="A22" s="30"/>
      <c r="B22" s="45" t="s">
        <v>60</v>
      </c>
      <c r="C22" s="59"/>
      <c r="D22" s="59"/>
      <c r="E22" s="66">
        <f>SUM(E15:E21)</f>
        <v>36506.29583333332</v>
      </c>
      <c r="F22" s="32"/>
      <c r="G22" s="32"/>
    </row>
    <row r="23" ht="22.5" customHeight="1" spans="1:7" x14ac:dyDescent="0.25">
      <c r="A23" s="30"/>
      <c r="B23" s="45" t="s">
        <v>61</v>
      </c>
      <c r="C23" s="67">
        <f>E22</f>
        <v>36506.29583333332</v>
      </c>
      <c r="D23" s="59"/>
      <c r="E23" s="60">
        <f>(E22*9)/100</f>
        <v>3285.566624999999</v>
      </c>
      <c r="F23" s="32"/>
      <c r="G23" s="32"/>
    </row>
    <row r="24" ht="21" customHeight="1" spans="1:7" x14ac:dyDescent="0.25">
      <c r="A24" s="30"/>
      <c r="B24" s="45" t="s">
        <v>62</v>
      </c>
      <c r="C24" s="67">
        <f>E22</f>
        <v>36506.29583333332</v>
      </c>
      <c r="D24" s="59"/>
      <c r="E24" s="60">
        <f>(E22*9)/100</f>
        <v>3285.566624999999</v>
      </c>
      <c r="F24" s="32"/>
      <c r="G24" s="32"/>
    </row>
    <row r="25" ht="21.75" customHeight="1" spans="1:7" x14ac:dyDescent="0.25">
      <c r="A25" s="30"/>
      <c r="B25" s="45" t="s">
        <v>63</v>
      </c>
      <c r="C25" s="59"/>
      <c r="D25" s="59"/>
      <c r="E25" s="66">
        <f>SUM(E22:E24)</f>
        <v>43077.42908333332</v>
      </c>
      <c r="F25" s="32"/>
      <c r="G25" s="32"/>
    </row>
    <row r="26" ht="80.25" customHeight="1" spans="1:7" x14ac:dyDescent="0.25">
      <c r="A26" s="68"/>
      <c r="B26" s="69" t="s">
        <v>64</v>
      </c>
      <c r="C26" s="70"/>
      <c r="D26" s="70"/>
      <c r="E26" s="71"/>
      <c r="F26" s="32"/>
      <c r="G26" s="32"/>
    </row>
  </sheetData>
  <mergeCells count="8">
    <mergeCell ref="A1:G1"/>
    <mergeCell ref="A2:G2"/>
    <mergeCell ref="C3:D3"/>
    <mergeCell ref="A8:B8"/>
    <mergeCell ref="C10:C14"/>
    <mergeCell ref="D10:D14"/>
    <mergeCell ref="D16:D21"/>
    <mergeCell ref="B26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may-26.xlsx</dc:title>
  <dc:subject/>
  <dc:description/>
  <cp:keywords/>
  <cp:category/>
  <cp:lastModifiedBy>Unknown</cp:lastModifiedBy>
  <cp:contentStatus/>
  <dcterms:created xsi:type="dcterms:W3CDTF">2026-07-21T09:24:17Z</dcterms:created>
  <dcterms:modified xsi:type="dcterms:W3CDTF">2026-07-26T03:50:59Z</dcterms:modified>
</cp:coreProperties>
</file>